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Кузьменков_Нечаев_231\практическая работа №5_Кузьменков_Дмитрий\"/>
    </mc:Choice>
  </mc:AlternateContent>
  <bookViews>
    <workbookView xWindow="0" yWindow="0" windowWidth="4128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1" l="1"/>
  <c r="AA6" i="1"/>
  <c r="AA5" i="1"/>
  <c r="AA4" i="1"/>
  <c r="AA3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5" i="1"/>
  <c r="T6" i="1"/>
  <c r="T4" i="1"/>
  <c r="K3" i="1"/>
  <c r="K4" i="1"/>
  <c r="K5" i="1"/>
  <c r="K6" i="1"/>
  <c r="K7" i="1"/>
  <c r="K8" i="1"/>
  <c r="K2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<sst xmlns="http://schemas.openxmlformats.org/spreadsheetml/2006/main" count="14" uniqueCount="14">
  <si>
    <t>№ детали</t>
  </si>
  <si>
    <t>Высота h (мм)</t>
  </si>
  <si>
    <t>Масса m (кг)</t>
  </si>
  <si>
    <t>Длина L (мм)</t>
  </si>
  <si>
    <t>Радиус R (мм)</t>
  </si>
  <si>
    <t>№</t>
  </si>
  <si>
    <t>№п/п</t>
  </si>
  <si>
    <t>Диаметр (мм)</t>
  </si>
  <si>
    <r>
      <t>Объем цилиндра (мм</t>
    </r>
    <r>
      <rPr>
        <b/>
        <vertAlign val="superscript"/>
        <sz val="10"/>
        <color theme="0"/>
        <rFont val="Calibri"/>
        <family val="2"/>
        <charset val="204"/>
        <scheme val="minor"/>
      </rPr>
      <t>3</t>
    </r>
    <r>
      <rPr>
        <b/>
        <sz val="11"/>
        <color theme="0"/>
        <rFont val="Calibri"/>
        <family val="2"/>
        <charset val="204"/>
        <scheme val="minor"/>
      </rPr>
      <t>)</t>
    </r>
  </si>
  <si>
    <t>Корень из объема</t>
  </si>
  <si>
    <t>Норма массы (параметр)</t>
  </si>
  <si>
    <t>Модуль отклонения массы от нормы</t>
  </si>
  <si>
    <t>Длина Дуги</t>
  </si>
  <si>
    <t>Дуга через РАДИАНЫ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</si>
</sst>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vertAlign val="superscript"/>
      <sz val="10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2" fontId="0" fillId="0" borderId="0" xfId="0" applyNumberFormat="1"/>
    <xf numFmtId="0" fontId="0" fillId="0" borderId="1" xfId="0" applyBorder="1"/>
    <xf numFmtId="9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topLeftCell="O1" zoomScale="85" zoomScaleNormal="85" workbookViewId="0">
      <selection activeCell="AA7" sqref="AA7"/>
    </sheetView>
  </sheetViews>
  <sheetFormatPr defaultRowHeight="14.4" x14ac:dyDescent="0.3"/>
  <cols>
    <col min="1" max="1" width="12.6640625" customWidth="1"/>
    <col min="2" max="2" width="13.21875" customWidth="1"/>
    <col min="3" max="3" width="19.33203125" customWidth="1"/>
    <col min="4" max="4" width="13.33203125" customWidth="1"/>
    <col min="5" max="5" width="12.6640625" customWidth="1"/>
    <col min="8" max="8" width="21.5546875" customWidth="1"/>
    <col min="9" max="9" width="20.44140625" customWidth="1"/>
    <col min="10" max="10" width="25.88671875" customWidth="1"/>
    <col min="11" max="11" width="35.109375" customWidth="1"/>
    <col min="18" max="19" width="8.88671875" customWidth="1"/>
    <col min="20" max="20" width="18.33203125" customWidth="1"/>
    <col min="24" max="24" width="23.44140625" customWidth="1"/>
    <col min="26" max="26" width="20.77734375" customWidth="1"/>
    <col min="27" max="27" width="45.77734375" customWidth="1"/>
  </cols>
  <sheetData>
    <row r="1" spans="1:27" ht="15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T1" s="5">
        <v>100000</v>
      </c>
      <c r="X1" t="s">
        <v>12</v>
      </c>
      <c r="Y1">
        <v>60</v>
      </c>
      <c r="Z1" t="s">
        <v>13</v>
      </c>
      <c r="AA1" s="2">
        <f>SUM(D2:D8)</f>
        <v>21.799999999999997</v>
      </c>
    </row>
    <row r="2" spans="1:27" x14ac:dyDescent="0.3">
      <c r="A2" s="2">
        <v>1</v>
      </c>
      <c r="B2" s="2">
        <v>12.5</v>
      </c>
      <c r="C2" s="2">
        <v>30</v>
      </c>
      <c r="D2" s="2">
        <v>2.4</v>
      </c>
      <c r="E2" s="2">
        <v>145</v>
      </c>
      <c r="F2" s="2">
        <f>2*B2</f>
        <v>25</v>
      </c>
      <c r="G2" s="2">
        <v>1</v>
      </c>
      <c r="H2" s="2">
        <f>PI()*POWER(B2,2)*C2</f>
        <v>14726.215563702155</v>
      </c>
      <c r="I2">
        <f>SQRT(H2)</f>
        <v>121.3516195347312</v>
      </c>
      <c r="J2" s="2">
        <v>3</v>
      </c>
      <c r="K2">
        <f>ABS(D2-$J$2)</f>
        <v>0.60000000000000009</v>
      </c>
      <c r="T2" s="4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2">
        <v>2</v>
      </c>
      <c r="B3" s="2">
        <v>8.3000000000000007</v>
      </c>
      <c r="C3" s="2">
        <v>25</v>
      </c>
      <c r="D3" s="2">
        <v>1.1000000000000001</v>
      </c>
      <c r="E3" s="2">
        <v>98</v>
      </c>
      <c r="F3" s="2">
        <f t="shared" ref="F3:F8" si="0">2*B3</f>
        <v>16.600000000000001</v>
      </c>
      <c r="G3" s="2">
        <v>2</v>
      </c>
      <c r="H3" s="2">
        <f t="shared" ref="H3:H8" si="1">PI()*POWER(B3,2)*C3</f>
        <v>5410.6079476450223</v>
      </c>
      <c r="I3">
        <f t="shared" ref="I3:I8" si="2">SQRT(H3)</f>
        <v>73.556834812578927</v>
      </c>
      <c r="K3">
        <f t="shared" ref="K3:K8" si="3">ABS(D3-$J$2)</f>
        <v>1.9</v>
      </c>
      <c r="T3">
        <v>5</v>
      </c>
      <c r="X3">
        <f t="shared" ref="X3:X8" si="4">PI()*B3*$Y$1/180</f>
        <v>8.6917396749317621</v>
      </c>
      <c r="Z3">
        <f t="shared" ref="Z3:Z8" si="5">B3*RADIANS($Y$1)</f>
        <v>8.6917396749317604</v>
      </c>
      <c r="AA3">
        <f>SUMPRODUCT(D2:D8,E2:E8)/SUM(E2:E8)</f>
        <v>4.0744612928970474</v>
      </c>
    </row>
    <row r="4" spans="1:27" x14ac:dyDescent="0.3">
      <c r="A4" s="2">
        <v>3</v>
      </c>
      <c r="B4" s="2">
        <v>15.7</v>
      </c>
      <c r="C4" s="2">
        <v>40</v>
      </c>
      <c r="D4" s="2">
        <v>4</v>
      </c>
      <c r="E4" s="2">
        <v>210</v>
      </c>
      <c r="F4" s="2">
        <f t="shared" si="0"/>
        <v>31.4</v>
      </c>
      <c r="G4" s="2">
        <v>3</v>
      </c>
      <c r="H4" s="2">
        <f t="shared" si="1"/>
        <v>30974.846927333921</v>
      </c>
      <c r="I4">
        <f t="shared" si="2"/>
        <v>175.99672419489494</v>
      </c>
      <c r="K4">
        <f t="shared" si="3"/>
        <v>1</v>
      </c>
      <c r="T4" s="5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">
      <c r="A5" s="2">
        <v>4</v>
      </c>
      <c r="B5" s="2">
        <v>6.2</v>
      </c>
      <c r="C5" s="2">
        <v>18</v>
      </c>
      <c r="D5" s="2">
        <v>0.7</v>
      </c>
      <c r="E5" s="2">
        <v>75</v>
      </c>
      <c r="F5" s="2">
        <f t="shared" si="0"/>
        <v>12.4</v>
      </c>
      <c r="G5" s="2">
        <v>4</v>
      </c>
      <c r="H5" s="2">
        <f t="shared" si="1"/>
        <v>2173.7307888718501</v>
      </c>
      <c r="I5">
        <f t="shared" si="2"/>
        <v>46.623285908136616</v>
      </c>
      <c r="K5">
        <f t="shared" si="3"/>
        <v>2.2999999999999998</v>
      </c>
      <c r="T5" s="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2">
        <f>AVERAGE(D2:D8)</f>
        <v>3.1142857142857139</v>
      </c>
    </row>
    <row r="6" spans="1:27" x14ac:dyDescent="0.3">
      <c r="A6" s="2" t="s">
        <v>5</v>
      </c>
      <c r="B6" s="2">
        <v>20.100000000000001</v>
      </c>
      <c r="C6" s="2">
        <v>55</v>
      </c>
      <c r="D6" s="2">
        <v>6.5</v>
      </c>
      <c r="E6" s="2">
        <v>320</v>
      </c>
      <c r="F6" s="2">
        <f t="shared" si="0"/>
        <v>40.200000000000003</v>
      </c>
      <c r="G6" s="2">
        <v>5</v>
      </c>
      <c r="H6" s="2">
        <f t="shared" si="1"/>
        <v>69807.916638724681</v>
      </c>
      <c r="I6">
        <f t="shared" si="2"/>
        <v>264.21187830740064</v>
      </c>
      <c r="K6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2">
        <f>MAX(D2:D8)</f>
        <v>6.5</v>
      </c>
    </row>
    <row r="7" spans="1:27" x14ac:dyDescent="0.3">
      <c r="A7" s="2">
        <v>6</v>
      </c>
      <c r="B7" s="2">
        <v>10.4</v>
      </c>
      <c r="C7" s="2">
        <v>28</v>
      </c>
      <c r="D7" s="2">
        <v>1.9</v>
      </c>
      <c r="E7" s="2">
        <v>130</v>
      </c>
      <c r="F7" s="2">
        <f t="shared" si="0"/>
        <v>20.8</v>
      </c>
      <c r="G7" s="2">
        <v>6</v>
      </c>
      <c r="H7" s="2">
        <f t="shared" si="1"/>
        <v>9514.250519543617</v>
      </c>
      <c r="I7">
        <f t="shared" si="2"/>
        <v>97.541019676562826</v>
      </c>
      <c r="K7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2">
        <f>MIN(D2:D8)</f>
        <v>0.7</v>
      </c>
    </row>
    <row r="8" spans="1:27" x14ac:dyDescent="0.3">
      <c r="A8" s="2">
        <v>7</v>
      </c>
      <c r="B8" s="2">
        <v>18.899999999999999</v>
      </c>
      <c r="C8" s="2">
        <v>48</v>
      </c>
      <c r="D8" s="2">
        <v>5.2</v>
      </c>
      <c r="E8" s="2">
        <v>275</v>
      </c>
      <c r="F8" s="2">
        <f t="shared" si="0"/>
        <v>37.799999999999997</v>
      </c>
      <c r="G8" s="2">
        <v>7</v>
      </c>
      <c r="H8" s="2">
        <f t="shared" si="1"/>
        <v>53865.998965862877</v>
      </c>
      <c r="I8">
        <f t="shared" si="2"/>
        <v>232.09049736226359</v>
      </c>
      <c r="K8">
        <f t="shared" si="3"/>
        <v>2.2000000000000002</v>
      </c>
      <c r="X8">
        <f t="shared" si="4"/>
        <v>19.792033717615695</v>
      </c>
      <c r="Z8">
        <f t="shared" si="5"/>
        <v>19.792033717615695</v>
      </c>
    </row>
    <row r="10" spans="1:27" x14ac:dyDescent="0.3">
      <c r="Z10">
        <f>DEGREES(PI()/3)</f>
        <v>59.999999999999993</v>
      </c>
    </row>
    <row r="13" spans="1:27" x14ac:dyDescent="0.3">
      <c r="F1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2026-09-23T10:25:32Z</dcterms:created>
  <dcterms:modified xsi:type="dcterms:W3CDTF">2026-09-23T11:26:51Z</dcterms:modified>
</cp:coreProperties>
</file>